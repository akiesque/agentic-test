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Q2 2026 vs Q1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Summary'!B1</f>
            </strRef>
          </tx>
          <spPr>
            <a:ln>
              <a:prstDash val="solid"/>
            </a:ln>
          </spPr>
          <cat>
            <numRef>
              <f>'Financial Summary'!$A$2:$A$20</f>
            </numRef>
          </cat>
          <val>
            <numRef>
              <f>'Financial Summary'!$B$2:$B$20</f>
            </numRef>
          </val>
        </ser>
        <ser>
          <idx val="1"/>
          <order val="1"/>
          <tx>
            <strRef>
              <f>'Financial Summary'!C1</f>
            </strRef>
          </tx>
          <spPr>
            <a:ln>
              <a:prstDash val="solid"/>
            </a:ln>
          </spPr>
          <cat>
            <numRef>
              <f>'Financial Summary'!$A$2:$A$20</f>
            </numRef>
          </cat>
          <val>
            <numRef>
              <f>'Financial Summary'!$C$2:$C$20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Line 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Php Mn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Q2 2026</t>
        </is>
      </c>
      <c r="C1" t="inlineStr">
        <is>
          <t>Q1 2026</t>
        </is>
      </c>
      <c r="D1" t="inlineStr">
        <is>
          <t>QoQ Change</t>
        </is>
      </c>
      <c r="E1" t="inlineStr">
        <is>
          <t>30-Jun 2026</t>
        </is>
      </c>
      <c r="F1" t="inlineStr">
        <is>
          <t>30-Jun 2025</t>
        </is>
      </c>
      <c r="G1" t="inlineStr">
        <is>
          <t>YoY Change</t>
        </is>
      </c>
    </row>
    <row r="2">
      <c r="A2" t="inlineStr">
        <is>
          <t>Operating Revenues</t>
        </is>
      </c>
      <c r="B2" t="n">
        <v>46955</v>
      </c>
      <c r="C2" t="n">
        <v>45706</v>
      </c>
      <c r="D2" t="n">
        <v>3</v>
      </c>
      <c r="E2" t="n">
        <v>92661</v>
      </c>
      <c r="F2" t="n">
        <v>87226</v>
      </c>
      <c r="G2" t="n">
        <v>6</v>
      </c>
    </row>
    <row r="3">
      <c r="A3" t="inlineStr">
        <is>
          <t>Service Revenues</t>
        </is>
      </c>
      <c r="B3" t="n">
        <v>43402</v>
      </c>
      <c r="C3" t="n">
        <v>41965</v>
      </c>
      <c r="D3" t="n">
        <v>3</v>
      </c>
      <c r="E3" t="n">
        <v>85367</v>
      </c>
      <c r="F3" t="n">
        <v>80188</v>
      </c>
      <c r="G3" t="n">
        <v>6</v>
      </c>
    </row>
    <row r="4">
      <c r="A4" t="inlineStr">
        <is>
          <t>Mobile*</t>
        </is>
      </c>
      <c r="B4" t="n">
        <v>30428</v>
      </c>
      <c r="C4" t="n">
        <v>29965</v>
      </c>
      <c r="D4" t="n">
        <v>2</v>
      </c>
      <c r="E4" t="n">
        <v>60393</v>
      </c>
      <c r="F4" t="n">
        <v>57073</v>
      </c>
      <c r="G4" t="n">
        <v>6</v>
      </c>
    </row>
    <row r="5">
      <c r="A5" t="inlineStr">
        <is>
          <t>Home Broadband**</t>
        </is>
      </c>
      <c r="B5" t="n">
        <v>6265</v>
      </c>
      <c r="C5" t="n">
        <v>6178</v>
      </c>
      <c r="D5" t="n">
        <v>1</v>
      </c>
      <c r="E5" t="n">
        <v>12443</v>
      </c>
      <c r="F5" t="n">
        <v>11708</v>
      </c>
      <c r="G5" t="n">
        <v>6</v>
      </c>
    </row>
    <row r="6">
      <c r="A6" t="inlineStr">
        <is>
          <t>Corporate Data</t>
        </is>
      </c>
      <c r="B6" t="n">
        <v>5910</v>
      </c>
      <c r="C6" t="n">
        <v>5135</v>
      </c>
      <c r="D6" t="n">
        <v>15</v>
      </c>
      <c r="E6" t="n">
        <v>11045</v>
      </c>
      <c r="F6" t="n">
        <v>9627</v>
      </c>
      <c r="G6" t="n">
        <v>15</v>
      </c>
    </row>
    <row r="7">
      <c r="A7" t="inlineStr">
        <is>
          <t>Fixed line Voice</t>
        </is>
      </c>
      <c r="B7" t="n">
        <v>301</v>
      </c>
      <c r="C7" t="n">
        <v>322</v>
      </c>
      <c r="D7" t="n">
        <v>-7</v>
      </c>
      <c r="E7" t="n">
        <v>623</v>
      </c>
      <c r="F7" t="n">
        <v>626</v>
      </c>
      <c r="G7" t="n">
        <v>-1</v>
      </c>
    </row>
    <row r="8">
      <c r="A8" t="inlineStr">
        <is>
          <t>Others***</t>
        </is>
      </c>
      <c r="B8" t="n">
        <v>498</v>
      </c>
      <c r="C8" t="n">
        <v>365</v>
      </c>
      <c r="D8" t="n">
        <v>37</v>
      </c>
      <c r="E8" t="n">
        <v>863</v>
      </c>
      <c r="F8" t="n">
        <v>1154</v>
      </c>
      <c r="G8" t="n">
        <v>-25</v>
      </c>
    </row>
    <row r="9">
      <c r="A9" t="inlineStr">
        <is>
          <t>Non-Service Revenues</t>
        </is>
      </c>
      <c r="B9" t="n">
        <v>3553</v>
      </c>
      <c r="C9" t="n">
        <v>3741</v>
      </c>
      <c r="D9" t="n">
        <v>-5</v>
      </c>
      <c r="E9" t="n">
        <v>7294</v>
      </c>
      <c r="F9" t="n">
        <v>7038</v>
      </c>
      <c r="G9" t="n">
        <v>4</v>
      </c>
    </row>
    <row r="10">
      <c r="A10" t="inlineStr">
        <is>
          <t>Costs and Expenses</t>
        </is>
      </c>
      <c r="B10" t="n">
        <v>24254</v>
      </c>
      <c r="C10" t="n">
        <v>23532</v>
      </c>
      <c r="D10" t="n">
        <v>3</v>
      </c>
      <c r="E10" t="n">
        <v>47786</v>
      </c>
      <c r="F10" t="n">
        <v>45086</v>
      </c>
      <c r="G10" t="n">
        <v>6</v>
      </c>
    </row>
    <row r="11">
      <c r="A11" t="inlineStr">
        <is>
          <t>Cost of Sales</t>
        </is>
      </c>
      <c r="B11" t="n">
        <v>3742</v>
      </c>
      <c r="C11" t="n">
        <v>3858</v>
      </c>
      <c r="D11" t="n">
        <v>-3</v>
      </c>
      <c r="E11" t="n">
        <v>7600</v>
      </c>
      <c r="F11" t="n">
        <v>7119</v>
      </c>
      <c r="G11" t="n">
        <v>7</v>
      </c>
    </row>
    <row r="12">
      <c r="A12" t="inlineStr">
        <is>
          <t>Operating Expenses</t>
        </is>
      </c>
      <c r="B12" t="n">
        <v>20512</v>
      </c>
      <c r="C12" t="n">
        <v>19674</v>
      </c>
      <c r="D12" t="n">
        <v>4</v>
      </c>
      <c r="E12" t="n">
        <v>40186</v>
      </c>
      <c r="F12" t="n">
        <v>37967</v>
      </c>
      <c r="G12" t="n">
        <v>6</v>
      </c>
    </row>
    <row r="13">
      <c r="A13" t="inlineStr">
        <is>
          <t>EBITDA</t>
        </is>
      </c>
      <c r="B13" t="n">
        <v>22701</v>
      </c>
      <c r="C13" t="n">
        <v>22174</v>
      </c>
      <c r="D13" t="n">
        <v>2</v>
      </c>
      <c r="E13" t="n">
        <v>44875</v>
      </c>
      <c r="F13" t="n">
        <v>42140</v>
      </c>
      <c r="G13" t="n">
        <v>6</v>
      </c>
    </row>
    <row r="14">
      <c r="A14" t="inlineStr">
        <is>
          <t>EBITDA Margin</t>
        </is>
      </c>
      <c r="B14" t="n">
        <v>52.3</v>
      </c>
      <c r="C14" t="n">
        <v>52.8</v>
      </c>
      <c r="D14" t="inlineStr">
        <is>
          <t>-</t>
        </is>
      </c>
      <c r="E14" t="n">
        <v>52.6</v>
      </c>
      <c r="F14" t="n">
        <v>52.6</v>
      </c>
      <c r="G14" t="inlineStr">
        <is>
          <t>-</t>
        </is>
      </c>
    </row>
    <row r="15">
      <c r="A15" t="inlineStr">
        <is>
          <t>Depreciation</t>
        </is>
      </c>
      <c r="B15" t="n">
        <v>14304</v>
      </c>
      <c r="C15" t="n">
        <v>14361</v>
      </c>
      <c r="D15" t="inlineStr">
        <is>
          <t>-</t>
        </is>
      </c>
      <c r="E15" t="n">
        <v>28665</v>
      </c>
      <c r="F15" t="n">
        <v>26430</v>
      </c>
      <c r="G15" t="n">
        <v>8</v>
      </c>
    </row>
    <row r="16">
      <c r="A16" t="inlineStr">
        <is>
          <t>EBIT</t>
        </is>
      </c>
      <c r="B16" t="n">
        <v>8397</v>
      </c>
      <c r="C16" t="n">
        <v>7813</v>
      </c>
      <c r="D16" t="n">
        <v>7</v>
      </c>
      <c r="E16" t="n">
        <v>16210</v>
      </c>
      <c r="F16" t="n">
        <v>15710</v>
      </c>
      <c r="G16" t="n">
        <v>3</v>
      </c>
    </row>
    <row r="17">
      <c r="A17" t="inlineStr">
        <is>
          <t>EBIT Margin</t>
        </is>
      </c>
      <c r="B17" t="n">
        <v>19.3</v>
      </c>
      <c r="C17" t="n">
        <v>18.6</v>
      </c>
      <c r="D17" t="inlineStr">
        <is>
          <t>-</t>
        </is>
      </c>
      <c r="E17" t="n">
        <v>19</v>
      </c>
      <c r="F17" t="n">
        <v>19.6</v>
      </c>
      <c r="G17" t="inlineStr">
        <is>
          <t>-</t>
        </is>
      </c>
    </row>
    <row r="18">
      <c r="A18" t="inlineStr">
        <is>
          <t>Non-Operating Income (Charges)</t>
        </is>
      </c>
      <c r="B18" t="n">
        <v>-1783</v>
      </c>
      <c r="C18" t="n">
        <v>-1286</v>
      </c>
      <c r="D18" t="n">
        <v>39</v>
      </c>
      <c r="E18" t="n">
        <v>-3069</v>
      </c>
      <c r="F18" t="n">
        <v>-980</v>
      </c>
      <c r="G18" t="n">
        <v>213</v>
      </c>
    </row>
    <row r="19">
      <c r="A19" t="inlineStr">
        <is>
          <t>Net Income After Tax (NIAT)</t>
        </is>
      </c>
      <c r="B19" t="n">
        <v>5485</v>
      </c>
      <c r="C19" t="n">
        <v>5554</v>
      </c>
      <c r="D19" t="n">
        <v>-1</v>
      </c>
      <c r="E19" t="n">
        <v>11039</v>
      </c>
      <c r="F19" t="n">
        <v>12437</v>
      </c>
      <c r="G19" t="n">
        <v>-11</v>
      </c>
    </row>
    <row r="20">
      <c r="A20" t="inlineStr">
        <is>
          <t>Core Net Income</t>
        </is>
      </c>
      <c r="B20" t="n">
        <v>5256</v>
      </c>
      <c r="C20" t="n">
        <v>4932</v>
      </c>
      <c r="D20" t="n">
        <v>7</v>
      </c>
      <c r="E20" t="n">
        <v>10188</v>
      </c>
      <c r="F20" t="n">
        <v>10431</v>
      </c>
      <c r="G20" t="n">
        <v>-2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2026-09-13T09:42:47Z</dcterms:created>
  <dcterms:modified xsi:type="dcterms:W3CDTF">2026-09-13T09:42:47Z</dcterms:modified>
</cp:coreProperties>
</file>